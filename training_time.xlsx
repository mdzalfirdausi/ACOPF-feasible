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M:\projects\ACOPF-feasible\"/>
    </mc:Choice>
  </mc:AlternateContent>
  <xr:revisionPtr revIDLastSave="0" documentId="13_ncr:1_{2E6B9892-5A7F-4218-9641-133BCAB4E25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12" i="1"/>
  <c r="I11" i="1"/>
  <c r="I10" i="1"/>
  <c r="I9" i="1"/>
  <c r="I6" i="1"/>
  <c r="I5" i="1"/>
  <c r="I4" i="1"/>
  <c r="I3" i="1"/>
  <c r="I2" i="1"/>
  <c r="H13" i="1"/>
  <c r="H12" i="1"/>
  <c r="H11" i="1"/>
  <c r="H10" i="1"/>
  <c r="H9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Muhammad Firdaus</author>
  </authors>
  <commentList>
    <comment ref="B2" authorId="0" shapeId="0" xr:uid="{F8A446AC-968D-4AB4-AC00-A984D7471DA3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8215_acopf_ISS.out</t>
        </r>
      </text>
    </comment>
    <comment ref="C2" authorId="0" shapeId="0" xr:uid="{529CED9D-A17D-4467-9DD4-4A79CB359EA1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8216_acopf_ISS</t>
        </r>
      </text>
    </comment>
    <comment ref="D2" authorId="0" shapeId="0" xr:uid="{0FB094CF-3647-47B6-9F67-55DDF19448AA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8217_acopf_ISS</t>
        </r>
      </text>
    </comment>
    <comment ref="E2" authorId="0" shapeId="0" xr:uid="{0CCE15A6-1D86-445D-857F-746395F5067B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8266_acopf_ISS</t>
        </r>
      </text>
    </comment>
    <comment ref="F2" authorId="0" shapeId="0" xr:uid="{3C6CE0CC-1CEC-4D7A-BC85-30F93EE970E5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8267_acopf_ISS</t>
        </r>
      </text>
    </comment>
    <comment ref="B3" authorId="0" shapeId="0" xr:uid="{BFD44F9C-BF3B-4A15-90BF-846CEE4AA9AB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8226_acopf_ISS</t>
        </r>
      </text>
    </comment>
    <comment ref="C3" authorId="0" shapeId="0" xr:uid="{0D805F25-5530-4B12-8B09-057B6E124137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8227_acopf_ISS</t>
        </r>
      </text>
    </comment>
    <comment ref="D3" authorId="0" shapeId="0" xr:uid="{05300B8E-7DF6-42A0-8EA6-F991B2BCBD75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8228_acopf_ISS</t>
        </r>
      </text>
    </comment>
    <comment ref="E3" authorId="0" shapeId="0" xr:uid="{74019C07-A6FD-46AC-9224-F696A749B1E2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8268_acopf_ISS</t>
        </r>
      </text>
    </comment>
    <comment ref="F3" authorId="0" shapeId="0" xr:uid="{ED3F8E03-8BE2-473A-A8AF-14CA5C753E9A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8269_acopf_ISS</t>
        </r>
      </text>
    </comment>
    <comment ref="B4" authorId="0" shapeId="0" xr:uid="{23B3DCC1-5036-4E8C-801B-7B34E5A24CFD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8229_acopf_ISS</t>
        </r>
      </text>
    </comment>
    <comment ref="C4" authorId="0" shapeId="0" xr:uid="{361E300D-FC51-44FE-9619-8D934EE9C5FB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8230_acopf_ISS</t>
        </r>
      </text>
    </comment>
    <comment ref="D4" authorId="0" shapeId="0" xr:uid="{02285078-DEEC-4474-ACC3-3733EB329C5A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8231_acopf_ISS</t>
        </r>
      </text>
    </comment>
    <comment ref="E4" authorId="0" shapeId="0" xr:uid="{20F52A64-D86F-45CD-BE5A-09D95E411DDA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8270_acopf_ISS</t>
        </r>
      </text>
    </comment>
    <comment ref="F4" authorId="0" shapeId="0" xr:uid="{8A8B99C9-4FBC-416D-980B-65F7F9236BC1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8271_acopf_ISS</t>
        </r>
      </text>
    </comment>
    <comment ref="B5" authorId="0" shapeId="0" xr:uid="{E4C696F6-99AC-44B4-B0F0-C075DD32ED1C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8095_acopf_ISS</t>
        </r>
      </text>
    </comment>
    <comment ref="C5" authorId="0" shapeId="0" xr:uid="{7E9DB5AB-3B96-47C8-ACEC-4220E531524D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8219_acopf_ISS</t>
        </r>
      </text>
    </comment>
    <comment ref="D5" authorId="0" shapeId="0" xr:uid="{ED92B01A-0BF2-4BE5-8ED0-3C39ED33AB24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8220_acopf_ISS</t>
        </r>
      </text>
    </comment>
    <comment ref="E5" authorId="0" shapeId="0" xr:uid="{F541FB2B-FA74-4215-835E-FD7EAD9037E7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8221_acopf_ISS</t>
        </r>
      </text>
    </comment>
    <comment ref="F5" authorId="0" shapeId="0" xr:uid="{1EDB9819-8434-4D22-A01A-DE189ACD8AD5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8222_acopf_ISS</t>
        </r>
      </text>
    </comment>
    <comment ref="B6" authorId="0" shapeId="0" xr:uid="{39002DCC-0B4C-43C3-8888-05CDA3EAF65B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8262_acopf_ISS</t>
        </r>
      </text>
    </comment>
    <comment ref="C6" authorId="0" shapeId="0" xr:uid="{1C6D57E8-CD1B-4716-8C8F-9BDBD92DB445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8263_acopf_ISS</t>
        </r>
      </text>
    </comment>
    <comment ref="D6" authorId="0" shapeId="0" xr:uid="{CEAF22BB-FB13-4B05-B984-E18B3EFA1A73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8264_acopf_ISS</t>
        </r>
      </text>
    </comment>
    <comment ref="E6" authorId="0" shapeId="0" xr:uid="{73B99BF4-E137-41FD-8F57-5CFC398F63AA}">
      <text>
        <r>
          <rPr>
            <b/>
            <sz val="9"/>
            <color indexed="81"/>
            <rFont val="Tahoma"/>
            <charset val="1"/>
          </rPr>
          <t>Muhammad Firdaus:</t>
        </r>
        <r>
          <rPr>
            <sz val="9"/>
            <color indexed="81"/>
            <rFont val="Tahoma"/>
            <charset val="1"/>
          </rPr>
          <t xml:space="preserve">
8301_acopf_ISS</t>
        </r>
      </text>
    </comment>
    <comment ref="F6" authorId="0" shapeId="0" xr:uid="{92DF15CB-491D-4DD9-B0C6-745E6A481689}">
      <text>
        <r>
          <rPr>
            <b/>
            <sz val="9"/>
            <color indexed="81"/>
            <rFont val="Tahoma"/>
            <charset val="1"/>
          </rPr>
          <t>Muhammad Firdaus:</t>
        </r>
        <r>
          <rPr>
            <sz val="9"/>
            <color indexed="81"/>
            <rFont val="Tahoma"/>
            <charset val="1"/>
          </rPr>
          <t xml:space="preserve">
8302_acopf_ISS</t>
        </r>
      </text>
    </comment>
    <comment ref="B9" authorId="0" shapeId="0" xr:uid="{F1AB6BE6-4662-4362-A60D-E3AD53121D24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8276_acopf_ISS</t>
        </r>
      </text>
    </comment>
    <comment ref="C9" authorId="0" shapeId="0" xr:uid="{49484F10-8E38-4B99-AF4D-46086B4E5273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8277_acopf_ISS</t>
        </r>
      </text>
    </comment>
    <comment ref="D9" authorId="0" shapeId="0" xr:uid="{F76658EE-790C-433C-AADB-625D0D5A5F56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8278_acopf_ISS</t>
        </r>
      </text>
    </comment>
    <comment ref="E9" authorId="0" shapeId="0" xr:uid="{097B421D-62E2-434F-984B-6FA9C2BEA728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8279_acopf_ISS</t>
        </r>
      </text>
    </comment>
    <comment ref="F9" authorId="0" shapeId="0" xr:uid="{4BB6ADD9-E569-461B-8710-8C5C3D6F14E3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8280_acopf_ISS</t>
        </r>
      </text>
    </comment>
    <comment ref="B10" authorId="0" shapeId="0" xr:uid="{FE44CD18-E7B7-4934-BD81-9874D6F0A55A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8243_acopf_ISS</t>
        </r>
      </text>
    </comment>
    <comment ref="C10" authorId="0" shapeId="0" xr:uid="{2422D48C-3C43-4D74-A23F-D1AB00544E4D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8244_acopf_ISS</t>
        </r>
      </text>
    </comment>
    <comment ref="D10" authorId="0" shapeId="0" xr:uid="{4B530D40-604F-46B1-9EB7-18E9A43400EC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8245_acopf_ISS</t>
        </r>
      </text>
    </comment>
    <comment ref="E10" authorId="0" shapeId="0" xr:uid="{326C6A85-3642-41F2-9A61-978C6F660298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8272_acopf_ISS</t>
        </r>
      </text>
    </comment>
    <comment ref="F10" authorId="0" shapeId="0" xr:uid="{5038C468-4CC3-4C20-B6E1-02C23310283B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8273_acopf_ISS</t>
        </r>
      </text>
    </comment>
    <comment ref="B11" authorId="0" shapeId="0" xr:uid="{AFAEA203-7CB8-48AB-AB11-16F2FD08D7F9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8246_acopf_ISS</t>
        </r>
      </text>
    </comment>
    <comment ref="C11" authorId="0" shapeId="0" xr:uid="{F8C791E7-0159-4CBD-AEBA-1C244D3D7440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8247_acopf_ISS</t>
        </r>
      </text>
    </comment>
    <comment ref="D11" authorId="0" shapeId="0" xr:uid="{C9040D13-9AD8-491C-93E3-6C6EDEFD8A82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8248_acopf_ISS</t>
        </r>
      </text>
    </comment>
    <comment ref="E11" authorId="0" shapeId="0" xr:uid="{3FF77FBB-8FF2-4C43-938E-3147A454A159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8274_acopf_ISS</t>
        </r>
      </text>
    </comment>
    <comment ref="F11" authorId="0" shapeId="0" xr:uid="{C25590AB-14CB-4227-B45C-8C272D984C7A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8275_acopf_ISS</t>
        </r>
      </text>
    </comment>
    <comment ref="B12" authorId="0" shapeId="0" xr:uid="{45268F24-C864-4397-A9BC-6004C8F55F9E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8239_acopf_ISS</t>
        </r>
      </text>
    </comment>
    <comment ref="C12" authorId="0" shapeId="0" xr:uid="{90FCD05C-1D49-42E1-ABDC-ADA11022846E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" authorId="0" shapeId="0" xr:uid="{345CC12F-3425-415F-85DD-9CFCC7B31949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8241_acopf_ISS</t>
        </r>
      </text>
    </comment>
    <comment ref="E12" authorId="0" shapeId="0" xr:uid="{46567BC1-A32D-412F-828C-0125EDF71A5D}">
      <text>
        <r>
          <rPr>
            <b/>
            <sz val="9"/>
            <color indexed="81"/>
            <rFont val="Tahoma"/>
            <family val="2"/>
          </rPr>
          <t>Muhammad Firdaus:</t>
        </r>
        <r>
          <rPr>
            <sz val="9"/>
            <color indexed="81"/>
            <rFont val="Tahoma"/>
            <family val="2"/>
          </rPr>
          <t xml:space="preserve">
8242_acopf_ISS</t>
        </r>
      </text>
    </comment>
    <comment ref="F12" authorId="0" shapeId="0" xr:uid="{462FD50D-2BBB-4D65-A408-51015307A832}">
      <text>
        <r>
          <rPr>
            <b/>
            <sz val="9"/>
            <color indexed="81"/>
            <rFont val="Tahoma"/>
            <charset val="1"/>
          </rPr>
          <t>Muhammad Firdaus:</t>
        </r>
        <r>
          <rPr>
            <sz val="9"/>
            <color indexed="81"/>
            <rFont val="Tahoma"/>
            <charset val="1"/>
          </rPr>
          <t xml:space="preserve">
8303_acopf_ISS</t>
        </r>
      </text>
    </comment>
    <comment ref="B13" authorId="0" shapeId="0" xr:uid="{2834658D-0BE0-4056-8A95-B29FD67547E3}">
      <text>
        <r>
          <rPr>
            <b/>
            <sz val="9"/>
            <color indexed="81"/>
            <rFont val="Tahoma"/>
            <charset val="1"/>
          </rPr>
          <t>Muhammad Firdaus:</t>
        </r>
        <r>
          <rPr>
            <sz val="9"/>
            <color indexed="81"/>
            <rFont val="Tahoma"/>
            <charset val="1"/>
          </rPr>
          <t xml:space="preserve">
8308_acopf_ISS</t>
        </r>
      </text>
    </comment>
    <comment ref="C13" authorId="0" shapeId="0" xr:uid="{BC3F3FBB-0DDA-4181-A231-6F3AA4CE91F8}">
      <text>
        <r>
          <rPr>
            <b/>
            <sz val="9"/>
            <color indexed="81"/>
            <rFont val="Tahoma"/>
            <charset val="1"/>
          </rPr>
          <t>Muhammad Firdaus:</t>
        </r>
        <r>
          <rPr>
            <sz val="9"/>
            <color indexed="81"/>
            <rFont val="Tahoma"/>
            <charset val="1"/>
          </rPr>
          <t xml:space="preserve">
8309_acopf_ISS</t>
        </r>
      </text>
    </comment>
    <comment ref="D13" authorId="0" shapeId="0" xr:uid="{5A2DCA70-C7F7-4C42-8727-210D2CB51F12}">
      <text>
        <r>
          <rPr>
            <b/>
            <sz val="9"/>
            <color indexed="81"/>
            <rFont val="Tahoma"/>
            <charset val="1"/>
          </rPr>
          <t>Muhammad Firdaus:</t>
        </r>
        <r>
          <rPr>
            <sz val="9"/>
            <color indexed="81"/>
            <rFont val="Tahoma"/>
            <charset val="1"/>
          </rPr>
          <t xml:space="preserve">
8310_acopf_ISS</t>
        </r>
      </text>
    </comment>
    <comment ref="E13" authorId="0" shapeId="0" xr:uid="{B05586A1-0A50-4331-9862-C51005930F05}">
      <text>
        <r>
          <rPr>
            <b/>
            <sz val="9"/>
            <color indexed="81"/>
            <rFont val="Tahoma"/>
            <charset val="1"/>
          </rPr>
          <t>Muhammad Firdaus:</t>
        </r>
        <r>
          <rPr>
            <sz val="9"/>
            <color indexed="81"/>
            <rFont val="Tahoma"/>
            <charset val="1"/>
          </rPr>
          <t xml:space="preserve">
8311_acopf_ISS</t>
        </r>
      </text>
    </comment>
    <comment ref="F13" authorId="0" shapeId="0" xr:uid="{EA92CB7B-137E-4838-98C9-644CEBBEB6BB}">
      <text>
        <r>
          <rPr>
            <b/>
            <sz val="9"/>
            <color indexed="81"/>
            <rFont val="Tahoma"/>
            <charset val="1"/>
          </rPr>
          <t>Muhammad Firdaus:</t>
        </r>
        <r>
          <rPr>
            <sz val="9"/>
            <color indexed="81"/>
            <rFont val="Tahoma"/>
            <charset val="1"/>
          </rPr>
          <t xml:space="preserve">
8312_acopf_ISS</t>
        </r>
      </text>
    </comment>
  </commentList>
</comments>
</file>

<file path=xl/sharedStrings.xml><?xml version="1.0" encoding="utf-8"?>
<sst xmlns="http://schemas.openxmlformats.org/spreadsheetml/2006/main" count="18" uniqueCount="12">
  <si>
    <t>Ours</t>
  </si>
  <si>
    <t>Training Time</t>
  </si>
  <si>
    <t>DC3</t>
  </si>
  <si>
    <t>FSNet</t>
  </si>
  <si>
    <t>Rahul</t>
  </si>
  <si>
    <t>KKT-v</t>
  </si>
  <si>
    <t>single</t>
  </si>
  <si>
    <t>multi</t>
  </si>
  <si>
    <t xml:space="preserve">last </t>
  </si>
  <si>
    <t>mean</t>
  </si>
  <si>
    <t>std</t>
  </si>
  <si>
    <t>8312_acopf_ISS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</si>
</sst>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activeCell="B19" sqref="B19"/>
    </sheetView>
  </sheetViews>
  <sheetFormatPr defaultRowHeight="14.4" x14ac:dyDescent="0.3"/>
  <sheetData>
    <row r="1" spans="1:9" x14ac:dyDescent="0.3">
      <c r="A1" t="s">
        <v>6</v>
      </c>
      <c r="B1" t="s">
        <v>1</v>
      </c>
      <c r="H1" t="s">
        <v>9</v>
      </c>
      <c r="I1" t="s">
        <v>10</v>
      </c>
    </row>
    <row r="2" spans="1:9" x14ac:dyDescent="0.3">
      <c r="A2" t="s">
        <v>0</v>
      </c>
      <c r="B2">
        <v>9.6300000000000008</v>
      </c>
      <c r="C2">
        <v>9.7200000000000006</v>
      </c>
      <c r="D2">
        <v>9.66</v>
      </c>
      <c r="E2">
        <v>9.5</v>
      </c>
      <c r="F2">
        <v>9.5399999999999991</v>
      </c>
      <c r="H2">
        <f>AVERAGE(B2:F2)</f>
        <v>9.6100000000000012</v>
      </c>
      <c r="I2">
        <f>_xlfn.STDEV.S(B2:F2)</f>
        <v>8.9442719099992019E-2</v>
      </c>
    </row>
    <row r="3" spans="1:9" x14ac:dyDescent="0.3">
      <c r="A3" t="s">
        <v>2</v>
      </c>
      <c r="B3">
        <v>17.850000000000001</v>
      </c>
      <c r="C3">
        <v>17.97</v>
      </c>
      <c r="D3">
        <v>17.8</v>
      </c>
      <c r="E3">
        <v>17.71</v>
      </c>
      <c r="F3">
        <v>17.8</v>
      </c>
      <c r="H3">
        <f t="shared" ref="H3:H6" si="0">AVERAGE(B3:F3)</f>
        <v>17.826000000000001</v>
      </c>
      <c r="I3">
        <f t="shared" ref="I3:I6" si="1">_xlfn.STDEV.S(B3:F3)</f>
        <v>9.5026312145636102E-2</v>
      </c>
    </row>
    <row r="4" spans="1:9" x14ac:dyDescent="0.3">
      <c r="A4" t="s">
        <v>3</v>
      </c>
      <c r="B4">
        <v>33.11</v>
      </c>
      <c r="C4">
        <v>33.090000000000003</v>
      </c>
      <c r="D4">
        <v>33.950000000000003</v>
      </c>
      <c r="E4">
        <v>33.17</v>
      </c>
      <c r="F4">
        <v>33.479999999999997</v>
      </c>
      <c r="H4">
        <f t="shared" si="0"/>
        <v>33.36</v>
      </c>
      <c r="I4">
        <f t="shared" si="1"/>
        <v>0.36537651812890232</v>
      </c>
    </row>
    <row r="5" spans="1:9" x14ac:dyDescent="0.3">
      <c r="A5" t="s">
        <v>4</v>
      </c>
      <c r="B5">
        <v>9.6300000000000008</v>
      </c>
      <c r="C5">
        <v>9.85</v>
      </c>
      <c r="D5">
        <v>9.84</v>
      </c>
      <c r="E5">
        <v>10.02</v>
      </c>
      <c r="F5">
        <v>10.02</v>
      </c>
      <c r="H5">
        <f t="shared" si="0"/>
        <v>9.8719999999999999</v>
      </c>
      <c r="I5">
        <f t="shared" si="1"/>
        <v>0.16115210206509828</v>
      </c>
    </row>
    <row r="6" spans="1:9" x14ac:dyDescent="0.3">
      <c r="A6" t="s">
        <v>5</v>
      </c>
      <c r="B6">
        <v>38.69</v>
      </c>
      <c r="C6">
        <v>38.409999999999997</v>
      </c>
      <c r="D6">
        <v>38</v>
      </c>
      <c r="E6">
        <v>37.86</v>
      </c>
      <c r="F6">
        <v>38.200000000000003</v>
      </c>
      <c r="H6">
        <f t="shared" si="0"/>
        <v>38.231999999999992</v>
      </c>
      <c r="I6">
        <f t="shared" si="1"/>
        <v>0.32965133095438764</v>
      </c>
    </row>
    <row r="8" spans="1:9" x14ac:dyDescent="0.3">
      <c r="A8" t="s">
        <v>7</v>
      </c>
      <c r="B8" t="s">
        <v>1</v>
      </c>
    </row>
    <row r="9" spans="1:9" x14ac:dyDescent="0.3">
      <c r="A9" t="s">
        <v>0</v>
      </c>
      <c r="B9">
        <v>10.039999999999999</v>
      </c>
      <c r="C9">
        <v>10.050000000000001</v>
      </c>
      <c r="D9">
        <v>10.029999999999999</v>
      </c>
      <c r="E9">
        <v>10.050000000000001</v>
      </c>
      <c r="F9">
        <v>10.050000000000001</v>
      </c>
      <c r="H9">
        <f t="shared" ref="H9:H13" si="2">AVERAGE(B9:F9)</f>
        <v>10.044</v>
      </c>
      <c r="I9">
        <f t="shared" ref="I9:I13" si="3">_xlfn.STDEV.S(B9:F9)</f>
        <v>8.9442719099998621E-3</v>
      </c>
    </row>
    <row r="10" spans="1:9" x14ac:dyDescent="0.3">
      <c r="A10" t="s">
        <v>2</v>
      </c>
      <c r="B10">
        <v>18.21</v>
      </c>
      <c r="C10">
        <v>18.239999999999998</v>
      </c>
      <c r="D10">
        <v>18.170000000000002</v>
      </c>
      <c r="E10">
        <v>18.34</v>
      </c>
      <c r="F10">
        <v>18.260000000000002</v>
      </c>
      <c r="H10">
        <f t="shared" si="2"/>
        <v>18.244000000000003</v>
      </c>
      <c r="I10">
        <f t="shared" si="3"/>
        <v>6.3482280992414972E-2</v>
      </c>
    </row>
    <row r="11" spans="1:9" x14ac:dyDescent="0.3">
      <c r="A11" t="s">
        <v>3</v>
      </c>
      <c r="B11">
        <v>33.54</v>
      </c>
      <c r="C11">
        <v>33.450000000000003</v>
      </c>
      <c r="D11">
        <v>33.46</v>
      </c>
      <c r="E11">
        <v>33.42</v>
      </c>
      <c r="F11">
        <v>33.68</v>
      </c>
      <c r="H11">
        <f t="shared" si="2"/>
        <v>33.510000000000005</v>
      </c>
      <c r="I11">
        <f t="shared" si="3"/>
        <v>0.1048808848170141</v>
      </c>
    </row>
    <row r="12" spans="1:9" x14ac:dyDescent="0.3">
      <c r="A12" t="s">
        <v>4</v>
      </c>
      <c r="B12">
        <v>10.28</v>
      </c>
      <c r="C12">
        <v>10.29</v>
      </c>
      <c r="D12">
        <v>10.25</v>
      </c>
      <c r="E12">
        <v>10.130000000000001</v>
      </c>
      <c r="F12">
        <v>10.24</v>
      </c>
      <c r="H12">
        <f t="shared" si="2"/>
        <v>10.238000000000001</v>
      </c>
      <c r="I12">
        <f t="shared" si="3"/>
        <v>6.3796551630945719E-2</v>
      </c>
    </row>
    <row r="13" spans="1:9" x14ac:dyDescent="0.3">
      <c r="A13" t="s">
        <v>5</v>
      </c>
      <c r="B13">
        <v>38.630000000000003</v>
      </c>
      <c r="C13">
        <v>38.6</v>
      </c>
      <c r="D13">
        <v>38.5</v>
      </c>
      <c r="E13">
        <v>38.6</v>
      </c>
      <c r="F13">
        <v>39.020000000000003</v>
      </c>
      <c r="H13">
        <f t="shared" si="2"/>
        <v>38.67</v>
      </c>
      <c r="I13">
        <f t="shared" si="3"/>
        <v>0.20174241001832113</v>
      </c>
    </row>
    <row r="19" spans="1:2" x14ac:dyDescent="0.3">
      <c r="A19" t="s">
        <v>8</v>
      </c>
      <c r="B19" t="s">
        <v>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Firdaus</dc:creator>
  <cp:lastModifiedBy>MUHAMMAD DZULQARNAIN AL FIRDAUSI</cp:lastModifiedBy>
  <dcterms:created xsi:type="dcterms:W3CDTF">2015-06-05T18:17:20Z</dcterms:created>
  <dcterms:modified xsi:type="dcterms:W3CDTF">2026-07-18T04:11:40Z</dcterms:modified>
</cp:coreProperties>
</file>